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arlo\OneDrive\Documentos\ACADEMICO\PROJETO_SIEV\PROJETO HOLANDA\"/>
    </mc:Choice>
  </mc:AlternateContent>
  <xr:revisionPtr revIDLastSave="0" documentId="13_ncr:1_{E38DB9A5-3FF7-44B2-8CA9-2151019444C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rojetos SAF" sheetId="1" r:id="rId1"/>
    <sheet name="Fornecedores Tecnologia" sheetId="2" r:id="rId2"/>
    <sheet name="Fontes Oficiais" sheetId="3" r:id="rId3"/>
    <sheet name="Capacidade vs Mandato" sheetId="4" r:id="rId4"/>
  </sheets>
  <externalReferences>
    <externalReference r:id="rId5"/>
  </externalReferences>
  <definedNames>
    <definedName name="_xlnm._FilterDatabase" localSheetId="3" hidden="1">'Capacidade vs Mandato'!$A$1:$F$9</definedName>
    <definedName name="_xlnm._FilterDatabase" localSheetId="2" hidden="1">'Fontes Oficiais'!$A$1:$F$18</definedName>
    <definedName name="_xlnm._FilterDatabase" localSheetId="1" hidden="1">'Fornecedores Tecnologia'!$A$1:$H$8</definedName>
    <definedName name="_xlnm._FilterDatabase" localSheetId="0" hidden="1">'Projetos SAF'!$A$1:$V$11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" i="1" l="1"/>
  <c r="T3" i="1"/>
</calcChain>
</file>

<file path=xl/sharedStrings.xml><?xml version="1.0" encoding="utf-8"?>
<sst xmlns="http://schemas.openxmlformats.org/spreadsheetml/2006/main" count="413" uniqueCount="346">
  <si>
    <t>ID</t>
  </si>
  <si>
    <t>Projeto (conforme EPE)</t>
  </si>
  <si>
    <t>Proponente</t>
  </si>
  <si>
    <t>UF</t>
  </si>
  <si>
    <t>Município / Localização Exata</t>
  </si>
  <si>
    <t>Ano Início (EPE)</t>
  </si>
  <si>
    <t>Rota Tecnológica</t>
  </si>
  <si>
    <t>Capacidade SAF (m³/ano, EPE)</t>
  </si>
  <si>
    <t>Feedstock Principal</t>
  </si>
  <si>
    <t>Fornecedor Tecnologia</t>
  </si>
  <si>
    <t>Investimento</t>
  </si>
  <si>
    <t>Status (mar/2026)</t>
  </si>
  <si>
    <t>Estágio Projeto</t>
  </si>
  <si>
    <t>Base do Estágio</t>
  </si>
  <si>
    <t>Fonte 1 (oficial)</t>
  </si>
  <si>
    <t>URL Fonte 1</t>
  </si>
  <si>
    <t>Fonte 2</t>
  </si>
  <si>
    <t>URL Fonte 2</t>
  </si>
  <si>
    <t>Notas / Evolução Recente</t>
  </si>
  <si>
    <t>SAF-01</t>
  </si>
  <si>
    <t>Petrobras REDUC</t>
  </si>
  <si>
    <t>Petrobras S.A.</t>
  </si>
  <si>
    <t>RJ</t>
  </si>
  <si>
    <t>Duque de Caxias (Refinaria Duque de Caxias, Rodovia Washington Luís km 113,7)</t>
  </si>
  <si>
    <t>Coprocessamento HEFA</t>
  </si>
  <si>
    <t>~3.000 (parcela renovável/ano)</t>
  </si>
  <si>
    <t>Óleo técnico milho (TCO), óleo de soja</t>
  </si>
  <si>
    <t>N/A (infraestrutura existente)</t>
  </si>
  <si>
    <t>Parte do programa BioRefino US$1,5 bi</t>
  </si>
  <si>
    <t>OPERACIONAL — Certificação ISCC CORSIA out/2025. Primeiras entregas comerciais dez/2025 (Galeão-RJ). ANP autorizou até 1,2% carga renovável (mai/2025). Produção até 50.000 m³/mês de QAV (parcela SAF ~3.000 m³/ano).</t>
  </si>
  <si>
    <t>Operacional (TRL 9)</t>
  </si>
  <si>
    <t>Produção comercial confirmada por Agência Petrobras (15/out/2025) e CartaCapital (5/dez/2025)</t>
  </si>
  <si>
    <t>Agência Petrobras — Comunicado oficial 15/out/2025</t>
  </si>
  <si>
    <t>https://agencia.petrobras.com.br/w/petrobras-tem-a-primeira-refinaria-do-pais-certificada-para-producao-de-saf</t>
  </si>
  <si>
    <t>CartaCapital — Petrobras entrega SAF, 5/dez/2025</t>
  </si>
  <si>
    <t>https://www.cartacapital.com.br/do-micro-ao-macro/petrobras-entrega-saf-produzido-no-pais-e-amplia-oferta-para-aviacao/</t>
  </si>
  <si>
    <t>CNN Brasil (24/jan/2026) confirma ~3 mil m³/ano parcela renovável. REVAP (SJC-SP) também realizou testes copro. REPLAN e REGAP devem iniciar copro 2026.</t>
  </si>
  <si>
    <t>SAF-02</t>
  </si>
  <si>
    <t>Petrobras REVAP</t>
  </si>
  <si>
    <t>SP</t>
  </si>
  <si>
    <t>São José dos Campos (Refinaria Henrique Lage — REVAP)</t>
  </si>
  <si>
    <t>~10.000</t>
  </si>
  <si>
    <t>Óleo vegetal (soja)</t>
  </si>
  <si>
    <t>Parte do programa BioRefino</t>
  </si>
  <si>
    <t>TESTES CONCLUÍDOS — Testes de copro de óleo vegetal realizados em 2025. Produção comercial prevista para 2025-2026 conforme EPE.</t>
  </si>
  <si>
    <t>Comissionamento</t>
  </si>
  <si>
    <t>Testes confirmados por Agência Petrobras (15/out/2025); EPE NT 2025-08 lista REVAP entre refinarias copro 2025</t>
  </si>
  <si>
    <t>Agência Petrobras — REDUC certificação (menciona REVAP testes)</t>
  </si>
  <si>
    <t>EPE NT-EPE-DPG-SDB-2025-08</t>
  </si>
  <si>
    <t>https://www.epe.gov.br/sites-pt/publicacoes-dados-abertos/publicacoes/PublicacoesArquivos/publicacao-343/topico-780/NT-EPE-DPG-SDB-2025-08_Investimentos_Custos_O_e_M_Bios_2026-2035.pdf</t>
  </si>
  <si>
    <t>EPE cita copro REVAP, REDUC, REGAP e REPLAN com capacidade conjunta ~60.000 m³/ano (Petrobras PE 2025-2029).</t>
  </si>
  <si>
    <t>SAF-03</t>
  </si>
  <si>
    <t>Petrobras REGAP</t>
  </si>
  <si>
    <t>MG</t>
  </si>
  <si>
    <t>Betim (Refinaria Gabriel Passos — REGAP)</t>
  </si>
  <si>
    <t>~5.000</t>
  </si>
  <si>
    <t>Óleo vegetal</t>
  </si>
  <si>
    <t>EM PREPARAÇÃO — EPE projeta início copro 2025. Sem confirmação pública de testes concluídos até mar/2026.</t>
  </si>
  <si>
    <t>Pré-operacional</t>
  </si>
  <si>
    <t>EPE NT 2025-08 lista REGAP entre refinarias copro 2025; Petrobras PE 2025-2029</t>
  </si>
  <si>
    <t>Petrobras — Transição energética, jun/2025</t>
  </si>
  <si>
    <t>https://agencia.petrobras.com.br/w/petrobras-divulga-avancos-em-iniciativas-para-a-transicao-energetica</t>
  </si>
  <si>
    <t>REGAP possui 13 mbpd capacidade copro conforme EPE. Menos informações públicas que REDUC/REVAP.</t>
  </si>
  <si>
    <t>SAF-04</t>
  </si>
  <si>
    <t>Petrobras REPLAN (Copro)</t>
  </si>
  <si>
    <t>Paulínia (Refinaria de Paulínia — REPLAN)</t>
  </si>
  <si>
    <t>~43.000</t>
  </si>
  <si>
    <t>Óleo vegetal, soja</t>
  </si>
  <si>
    <t>PLANEJADO — EPE projeta entrada em copro 2027. Maior capacidade copro entre as refinarias (6 mbpd copro).</t>
  </si>
  <si>
    <t>Planejado</t>
  </si>
  <si>
    <t>EPE NT 2025-08 projeta REPLAN copro a partir de 2027; Petrobras PE 2025-2029</t>
  </si>
  <si>
    <t>CNN Brasil — Três projetos SAF, 24/jan/2026</t>
  </si>
  <si>
    <t>https://www.cnnbrasil.com.br/economia/macroeconomia/tres-projetos-assumem-dianteira-na-producao-de-combustivel-aereo-verde/</t>
  </si>
  <si>
    <t>REPLAN é a maior refinaria do país. Copro a partir de 2027; planta ATJ dedicada (SAF-09) prevista para 2033.</t>
  </si>
  <si>
    <t>SAF-05</t>
  </si>
  <si>
    <t>Acelen Mataripe</t>
  </si>
  <si>
    <t>Acelen Renováveis (Mubadala Capital)</t>
  </si>
  <si>
    <t>BA</t>
  </si>
  <si>
    <t>São Francisco do Conde (adjacente à Refinaria de Mataripe, Terminal Temadre)</t>
  </si>
  <si>
    <t>HEFA Dedicado</t>
  </si>
  <si>
    <t>600.000</t>
  </si>
  <si>
    <t>Soja, sebo bovino (início); macaúba (a partir 2030)</t>
  </si>
  <si>
    <t>Honeywell UOP Ecofining + Alfa Laval + AFRY (FEED)</t>
  </si>
  <si>
    <t>US$3 bi (~R$16 bi em 10 anos)</t>
  </si>
  <si>
    <t>ENGENHARIA AVANÇADA — FEED concluído (mai/2025, InvestNews). Licença implantação obtida. Construção prevista início 2026 (Bahia Econômica ago/2025). Honeywell licenciado COP28 (dez/2023).</t>
  </si>
  <si>
    <t>FEED concluído / Pré-construção</t>
  </si>
  <si>
    <t>FEED concluído confirmado por CEO Mendonça em InvestNews (26/mai/2025); licença implantação por Bahia Econômica (11/ago/2025)</t>
  </si>
  <si>
    <t>CNN Brasil — Acelen R$340mi + biorrefinaria, 26/mai/2025</t>
  </si>
  <si>
    <t>https://www.cnnbrasil.com.br/economia/negocios/acelen-preve-investir-mais-r-340-mi-na-refinaria-de-mataripe-em-2025/</t>
  </si>
  <si>
    <t>BiodieselBR — Acelen contratos COP28, 11/dez/2023</t>
  </si>
  <si>
    <t>https://www.biodieselbr.com/noticias/biocombustivel/cana/acelen-anuncia-contratos-com-parceiros-para-construcao-de-biorrefinaria-na-bahia-111223</t>
  </si>
  <si>
    <t>EPE usa 600 mil m³/ano SAF (de 1 bi L total SAF+HVO). Agripark MG inaugurado set/2025 (BNDES R$258mi). Plantio macaúba Cachoeira-BA. MoU Petrobras para possível sociedade.</t>
  </si>
  <si>
    <t>SAF-06</t>
  </si>
  <si>
    <t>Petrobras RPBC</t>
  </si>
  <si>
    <t>Cubatão (Refinaria Presidente Bernardes — RPBC)</t>
  </si>
  <si>
    <t>520.000</t>
  </si>
  <si>
    <t>Soja (70%), sebo bovino (30%)</t>
  </si>
  <si>
    <t>Honeywell UOP Ecofining</t>
  </si>
  <si>
    <t>Parte de US$1,5 bi (BioRefino)</t>
  </si>
  <si>
    <t>EM LICENCIAMENTO — Contrato Honeywell UOP assinado dez/2023. Capacidade 15.000 bpd. Projeto básico em andamento. Operação após 2029.</t>
  </si>
  <si>
    <t>Licenciamento / Projeto básico</t>
  </si>
  <si>
    <t>Contrato Honeywell confirmado por Biobased Diesel Daily (11/jan/2024); Petrobras RS 2024 confirma 15.000 bpd após 2029</t>
  </si>
  <si>
    <t>Biobased Diesel Daily — Petrobras licenses UOP, 11/jan/2024</t>
  </si>
  <si>
    <t>https://www.biobased-diesel.com/post/petrobras-licenses-honeywell-uop-technology-for-renewable-diesel-saf-production-in-brazil</t>
  </si>
  <si>
    <t>Petrobras — Relatório Sustentabilidade 2024 (jun/2025)</t>
  </si>
  <si>
    <t>EPE usa 520 mil m³/ano. 1ª unidade HEFA dedicada da Petrobras. Feedstock: 70% soja + 30% sebo.</t>
  </si>
  <si>
    <t>SAF-07</t>
  </si>
  <si>
    <t>Riograndense</t>
  </si>
  <si>
    <t>Petrobras / sócios</t>
  </si>
  <si>
    <t>RS</t>
  </si>
  <si>
    <t>Rio Grande (Refinaria Riograndense, Distrito Industrial)</t>
  </si>
  <si>
    <t>Soja, TCO, UCO</t>
  </si>
  <si>
    <t>Topsoe A/S (HydroFlex + H2bridge)</t>
  </si>
  <si>
    <t>R$5,5 bi</t>
  </si>
  <si>
    <t>EM CONVERSÃO — Teste 100% carga renovável dez/2025 bem-sucedido (A Hora do Sul, 27/dez/2025). ANP autorizou Bio-GLP. Contrato Topsoe assinado nov/2024.</t>
  </si>
  <si>
    <t>Em construção / Conversão</t>
  </si>
  <si>
    <t>Teste 100% renovável confirmado por A Hora do Sul (27/dez/2025); CNN Brasil (24/jan/2026) confirma 520 mil m³/ano e 2028</t>
  </si>
  <si>
    <t>A Hora do Sul — Riograndense biorrefinaria, 27/dez/2025</t>
  </si>
  <si>
    <t>https://ahoradosul.com.br/conteudos/2025/12/27/refinaria-riograndense-cada-vez-mais-proxima-de-se-tornar-a-primeira-biorrefinaria-do-pais/</t>
  </si>
  <si>
    <t>Caminho para 1ª biorrefinaria 100% dedicada do Brasil. Topsoe HydroFlex + H2bridge contratados nov/2024.</t>
  </si>
  <si>
    <t>SAF-08</t>
  </si>
  <si>
    <t>Energis8</t>
  </si>
  <si>
    <t>Energis8 Indústria e Comércio Ltda</t>
  </si>
  <si>
    <t>Paulínia (previsto)</t>
  </si>
  <si>
    <t>ATJ (Alcohol-to-Jet)</t>
  </si>
  <si>
    <t>790.000</t>
  </si>
  <si>
    <t>Etanol 2G</t>
  </si>
  <si>
    <t>Não divulgado</t>
  </si>
  <si>
    <t>~US$400 mi (estimativa)</t>
  </si>
  <si>
    <t>ANUNCIADO — Interesse manifestado em 2024 para planta ATJ em Paulínia-SP. NÃO HÁ SINAIS PÚBLICOS DE CONSTRUÇÃO OU FID até mar/2026.</t>
  </si>
  <si>
    <t>Anunciado (SEM avanço verificável)</t>
  </si>
  <si>
    <t>Advanced BioFuels USA (2025) confirma: 'no current information beyond 2024; no signs of construction'. EPE inclui no portfólio mas sem evidência de progresso.</t>
  </si>
  <si>
    <t>Advanced BioFuels USA — SAF Brazil 2025</t>
  </si>
  <si>
    <t>https://advancedbiofuelsusa.info/the-current-scenario-of-saf-production-in-brazil-2025</t>
  </si>
  <si>
    <t>EPE NT-EPE-DPG-SDB-2025-08 (inclui no portfólio)</t>
  </si>
  <si>
    <t>⚠️ ATENÇÃO: Projeto com MENOR CONFIANÇA do portfólio EPE. Sem FID, sem engenharia divulgada, sem parceiro tecnológico público. CNPJ registrado em Iperó-SP. Monitorar.</t>
  </si>
  <si>
    <t>SAF-09</t>
  </si>
  <si>
    <t>Petrobras REPLAN (ATJ)</t>
  </si>
  <si>
    <t>Paulínia (Refinaria de Paulínia — REPLAN, planta dedicada ATJ)</t>
  </si>
  <si>
    <t>420.000</t>
  </si>
  <si>
    <t>Etanol de cana-de-açúcar</t>
  </si>
  <si>
    <t>Em estudo (parceiro tecnológico não definido)</t>
  </si>
  <si>
    <t>EM ESTUDO — Planta ATJ dedicada com 10.000 bpd. Petrobras avalia construção anexa à REPLAN. BiodieselBR (jul/2025) confirma que REVAP e REDUC também são candidatas.</t>
  </si>
  <si>
    <t>Em estudo conceitual</t>
  </si>
  <si>
    <t>Petrobras confirma estudo ATJ 10.000 bpd em Relatório Sustentabilidade 2024 (jun/2025) e BiodieselBR (jul/2025)</t>
  </si>
  <si>
    <t>Petrobras Nossa Energia — SAF, 17/jan/2025</t>
  </si>
  <si>
    <t>https://nossaenergia.petrobras.com.br/w/transicao-energetica/saf-veja-como-investimos-em-tecnologia-rumo-ao-futuro-dos-combustiveis-sustentaveis</t>
  </si>
  <si>
    <t>BiodieselBR — Petrobras ATJ REPLAN, jul/2025</t>
  </si>
  <si>
    <t>https://www.biodieselbr.com/noticias/biocombustivel/bioqav/petrobras-inclui-etanol-na-rota-do-saf-e-estuda-unidade-de-producao-anexa-a-replan-240725</t>
  </si>
  <si>
    <t>CNN Brasil (24/jan/2026) confirma 420 mil m³/ano para 2033. Consumo de 3-4 mi L etanol/dia (Firjan/ESG Inside ago/2025).</t>
  </si>
  <si>
    <t>SAF-10</t>
  </si>
  <si>
    <t>Petrobras Boaventura</t>
  </si>
  <si>
    <t>Itaboraí (Complexo de Energias Boaventura — BEC)</t>
  </si>
  <si>
    <t>660.000</t>
  </si>
  <si>
    <t>Óleos vegetais, gorduras animais</t>
  </si>
  <si>
    <t>Em estudo (Topsoe HydroFlex mencionado em análises)</t>
  </si>
  <si>
    <t>Parte do programa BioRefino / BEC (~R$26 bi complexo total)</t>
  </si>
  <si>
    <t>EM ESTUDO/FEED INICIAL — Capacidade 19.000 bpd. Previsão início operação EPE: 2032 (revisado de 'após 2029'). Maior complexo SAF+HVO planejado da Petrobras.</t>
  </si>
  <si>
    <t>Pré-FEED / Estudo</t>
  </si>
  <si>
    <t>Petrobras Relatório Sustentabilidade 2024 confirma BEC 19.000 bpd; EPE NT 2025-08 projeta 2032</t>
  </si>
  <si>
    <t>EPE usa 660 mil m³/ano (imagem anexa). Petrobras menciona 19.000 bpd. BEC integra mega-complexo petroquímico de Itaboraí.</t>
  </si>
  <si>
    <t>Empresa</t>
  </si>
  <si>
    <t>País Sede</t>
  </si>
  <si>
    <t>Tecnologia/Produto</t>
  </si>
  <si>
    <t>Rota SAF</t>
  </si>
  <si>
    <t>Projeto(s) no Brasil</t>
  </si>
  <si>
    <t>Fonte</t>
  </si>
  <si>
    <t>URL</t>
  </si>
  <si>
    <t>T-01</t>
  </si>
  <si>
    <t>Honeywell UOP</t>
  </si>
  <si>
    <t>EUA</t>
  </si>
  <si>
    <t>Ecofining (HEFA 1-stage/2-stage); Ethanol-to-Jet; eFining (MtJ); FT-Unicracking</t>
  </si>
  <si>
    <t>HEFA, ATJ, PtL, FT</t>
  </si>
  <si>
    <t>RPBC Cubatão (licenciado dez/2023); Acelen Mataripe (licenciado COP28 dez/2023)</t>
  </si>
  <si>
    <t>Biobased Diesel 11/jan/2024; Honeywell press jan/2024</t>
  </si>
  <si>
    <t>T-02</t>
  </si>
  <si>
    <t>Topsoe A/S</t>
  </si>
  <si>
    <t>Dinamarca</t>
  </si>
  <si>
    <t>HydroFlex (HEFA dedicado) + H2bridge (produção H2 de biogás para HT)</t>
  </si>
  <si>
    <t>HEFA</t>
  </si>
  <si>
    <t>Refinaria Riograndense (contrato assinado nov/2024)</t>
  </si>
  <si>
    <t>CNN Brasil 24/jan/2026; A Hora do Sul 27/dez/2025</t>
  </si>
  <si>
    <t>T-03</t>
  </si>
  <si>
    <t>Alfa Laval</t>
  </si>
  <si>
    <t>Suécia</t>
  </si>
  <si>
    <t>Pré-tratamento e refino de óleos vegetais para biorrefinarias</t>
  </si>
  <si>
    <t>HEFA (pré-trat.)</t>
  </si>
  <si>
    <t>Acelen Mataripe (contrato COP28 dez/2023)</t>
  </si>
  <si>
    <t>BiodieselBR 11/dez/2023</t>
  </si>
  <si>
    <t>T-04</t>
  </si>
  <si>
    <t>AFRY</t>
  </si>
  <si>
    <t>Finlândia/Suécia</t>
  </si>
  <si>
    <t>Engenharia básica (FEED) e consultoria ambiental (LA)</t>
  </si>
  <si>
    <t>Transversal</t>
  </si>
  <si>
    <t>Acelen Mataripe (FEED + obtenção licença ambiental)</t>
  </si>
  <si>
    <t>T-05</t>
  </si>
  <si>
    <t>Embraer S.A.</t>
  </si>
  <si>
    <t>Brasil (SJC-SP)</t>
  </si>
  <si>
    <t>Validação SAF em aeronaves (voos-teste 100% SAF); P&amp;D motores</t>
  </si>
  <si>
    <t>Consumo/Validação</t>
  </si>
  <si>
    <t>Voos 100% SAF: E195-E2 (jun/2022), Phenom 300E (out/2023)</t>
  </si>
  <si>
    <t>Revista Pesquisa FAPESP 2024</t>
  </si>
  <si>
    <t>https://revistapesquisa.fapesp.br/brasil-se-prepara-para-produzir-combustivel-sustentavel-de-aviacao/</t>
  </si>
  <si>
    <t>T-06</t>
  </si>
  <si>
    <t>ISCC (certificadora)</t>
  </si>
  <si>
    <t>Alemanha</t>
  </si>
  <si>
    <t>Certificação ISCC CORSIA / ISCC EU / ISCC Plus — cadeia de custódia SAF</t>
  </si>
  <si>
    <t>Certificação</t>
  </si>
  <si>
    <t>REDUC (out/2025); Raízen Costa Pinto (ago/2023); FS Bioenergia; Tereos; Atvos; São Martinho</t>
  </si>
  <si>
    <t>Agência Petrobras 15/out/2025; Raízen ago/2023</t>
  </si>
  <si>
    <t>https://www.iscc-system.org/</t>
  </si>
  <si>
    <t>T-07</t>
  </si>
  <si>
    <t>Vibra Energia (BR Aviation)</t>
  </si>
  <si>
    <t>Brasil (RJ)</t>
  </si>
  <si>
    <t>Distribuição SAF — terminais certificados, logística aeroportuária</t>
  </si>
  <si>
    <t>Logística/Distribuição</t>
  </si>
  <si>
    <t>1ª importação SAF Brasil (mar/2025, Galeão-RJ); 90+ aeroportos, 70% mercado QAV</t>
  </si>
  <si>
    <t>Nota Técnica Firjan jul/2025; CNN Brasil jan/2026</t>
  </si>
  <si>
    <t>https://static.poder360.com.br/2025/07/07.2025-Nota-SAF_v7.pdf</t>
  </si>
  <si>
    <t>#</t>
  </si>
  <si>
    <t>Tipo</t>
  </si>
  <si>
    <t>Dados Utilizados</t>
  </si>
  <si>
    <t>Data</t>
  </si>
  <si>
    <t>EPE — NT-EPE-DPG-SDB-2025-08</t>
  </si>
  <si>
    <t>Nota Técnica governo</t>
  </si>
  <si>
    <t>Portfólio de 10 projetos SAF; capacidades; investimentos R$27,9 bi; CAPEX/OPEX 2026-2035</t>
  </si>
  <si>
    <t>2025</t>
  </si>
  <si>
    <t>EPE — CA-EPE-DPG-SDB-2024-02</t>
  </si>
  <si>
    <t>Caderno EPE</t>
  </si>
  <si>
    <t>Perspectivas futuras SAF Brasil; rotas; projeções demanda 2027-2037</t>
  </si>
  <si>
    <t>2024</t>
  </si>
  <si>
    <t>https://www.epe.gov.br/sites-pt/publicacoes-dados-abertos/publicacoes/PublicacoesArquivos/publicacao-839/CA-EPE-DPG-SDB-2024-02_Combustiveis_Sustentaveis_Aviacao_Brasil.pdf</t>
  </si>
  <si>
    <t>Agência Petrobras — REDUC ISCC CORSIA</t>
  </si>
  <si>
    <t>Comunicado oficial empresa</t>
  </si>
  <si>
    <t>Certificação ISCC; autorização ANP; dados copro 1,2%; 50.000 m³/mês QAV</t>
  </si>
  <si>
    <t>15/out/2025</t>
  </si>
  <si>
    <t>Petrobras Nossa Energia — SAF</t>
  </si>
  <si>
    <t>Portal institucional</t>
  </si>
  <si>
    <t>RPBC 15.000 bpd; BEC 19.000 bpd; REPLAN ATJ 10.000 bpd</t>
  </si>
  <si>
    <t>17/jan/2025</t>
  </si>
  <si>
    <t>Petrobras — Relatório Sustentabilidade 2024</t>
  </si>
  <si>
    <t>Relatório anual</t>
  </si>
  <si>
    <t>Confirmação RPBC/BEC/REPLAN ATJ, capacidades em bpd</t>
  </si>
  <si>
    <t>16/jun/2025</t>
  </si>
  <si>
    <t>CartaCapital — Petrobras entrega SAF</t>
  </si>
  <si>
    <t>Imprensa</t>
  </si>
  <si>
    <t>Entregas comerciais dez/2025; REPLAN e REGAP em 2026; feedstocks (TCO, soja)</t>
  </si>
  <si>
    <t>5/dez/2025</t>
  </si>
  <si>
    <t>CNN Brasil — Três projetos SAF</t>
  </si>
  <si>
    <t>Reportagem especial</t>
  </si>
  <si>
    <t>Status atualizado 10 projetos; Riograndense 520 mil m³; REPLAN ATJ 420 mil m³; depoimentos aéreas</t>
  </si>
  <si>
    <t>24/jan/2026</t>
  </si>
  <si>
    <t>Biobased Diesel Daily — RPBC Honeywell</t>
  </si>
  <si>
    <t>Imprensa especializada</t>
  </si>
  <si>
    <t>Contrato UOP Ecofining RPBC; capacidade; feedstock 70% soja + 30% sebo</t>
  </si>
  <si>
    <t>11/jan/2024</t>
  </si>
  <si>
    <t>BiodieselBR — Acelen contratos COP28</t>
  </si>
  <si>
    <t>Honeywell Ecofining, Alfa Laval, AFRY; macaúba; 1 bi L/ano</t>
  </si>
  <si>
    <t>11/dez/2023</t>
  </si>
  <si>
    <t>CNN Brasil — Acelen R$340mi</t>
  </si>
  <si>
    <t>FEED concluído; 1 bi L; início 2027; macaúba 2030; Cachoeira-BA plantio</t>
  </si>
  <si>
    <t>26/mai/2025</t>
  </si>
  <si>
    <t>A Hora do Sul — Riograndense</t>
  </si>
  <si>
    <t>Imprensa regional</t>
  </si>
  <si>
    <t>Teste 100% carga renovável dez/2025; caminho biorrefinaria; Topsoe</t>
  </si>
  <si>
    <t>27/dez/2025</t>
  </si>
  <si>
    <t>BiodieselBR — Petrobras ATJ REPLAN</t>
  </si>
  <si>
    <t>ATJ 10.000 bpd; candidatas REPLAN/REVAP/REDUC; etanol cana</t>
  </si>
  <si>
    <t>Jul/2025</t>
  </si>
  <si>
    <t>Análise setorial</t>
  </si>
  <si>
    <t>Status todos os projetos; Energis8 sem avanço; BEC 1,087 bi L</t>
  </si>
  <si>
    <t>Firjan — Nota Técnica SAF jul/2025</t>
  </si>
  <si>
    <t>Relatório setorial</t>
  </si>
  <si>
    <t>Meta 1,1 bi L SAF até 2037; projeções EPE</t>
  </si>
  <si>
    <t>Planalto — Lei 14.993/2024</t>
  </si>
  <si>
    <t>Legislação</t>
  </si>
  <si>
    <t>ProBioQAV; mandatos 1%-10% emissões 2027-2037</t>
  </si>
  <si>
    <t>8/out/2024</t>
  </si>
  <si>
    <t>https://www.planalto.gov.br/ccivil_03/_ato2023-2026/2024/lei/l14993.htm</t>
  </si>
  <si>
    <t>Agência Gov — R$1 tri biocombustíveis</t>
  </si>
  <si>
    <t>Governo</t>
  </si>
  <si>
    <t>CAPEX R$100 bi + OPEX R$924 bi (2025-2034); SAF R$17,5 bi</t>
  </si>
  <si>
    <t>Dez/2024</t>
  </si>
  <si>
    <t>https://agenciagov.ebc.com.br/noticias/202412/com-o-combustivel-do-futuro-brasil-ultrapassara-r-1-trilhao-em-recursos-para-biocombustiveis-nos-proximos-dez-anos</t>
  </si>
  <si>
    <t>Bahia Econômica — Acelen macaúba</t>
  </si>
  <si>
    <t>Licença implantação obtida; construção biorrefinaria início 2026; conclusão 2028</t>
  </si>
  <si>
    <t>11/ago/2025</t>
  </si>
  <si>
    <t>https://bahiaeconomica.com.br/wp/2025/08/11/acelen-renovaveis-seleciona-pequenos-agricultores-para-cultivo-de-macauba/</t>
  </si>
  <si>
    <t>Ano</t>
  </si>
  <si>
    <t>Projetos que entram (conforme EPE)</t>
  </si>
  <si>
    <t>Capacidade Incremental SAF (mil m³)</t>
  </si>
  <si>
    <t>Capacidade Acumulada SAF (mil m³)</t>
  </si>
  <si>
    <t>Mandato ProBioQAV (%)</t>
  </si>
  <si>
    <t>Obs</t>
  </si>
  <si>
    <t>REDUC (copro ~3); REVAP (copro ~10); REGAP (copro ~5)</t>
  </si>
  <si>
    <t>N/A</t>
  </si>
  <si>
    <t>Somente coprocessamento</t>
  </si>
  <si>
    <t>REPLAN copro (~43); Acelen Mataripe (~600)</t>
  </si>
  <si>
    <t>1%</t>
  </si>
  <si>
    <t>Primeiro ano do mandato. Acelen é pivotal.</t>
  </si>
  <si>
    <t>Riograndense (~520)</t>
  </si>
  <si>
    <t>2%</t>
  </si>
  <si>
    <t>RPBC Cubatão (~520)</t>
  </si>
  <si>
    <t>3%</t>
  </si>
  <si>
    <t>Energis8 (~790) ⚠️</t>
  </si>
  <si>
    <t>4%</t>
  </si>
  <si>
    <t>⚠️ Energis8 sem evidência de avanço (mar/2026)</t>
  </si>
  <si>
    <t>Boaventura (~660)</t>
  </si>
  <si>
    <t>6%</t>
  </si>
  <si>
    <t>REPLAN ATJ (~420)</t>
  </si>
  <si>
    <t>7%</t>
  </si>
  <si>
    <t>Capacidade plena ~3,6 mi m³/ano (EPE: 4,5 bi L com HVO)</t>
  </si>
  <si>
    <t>—</t>
  </si>
  <si>
    <t>10%</t>
  </si>
  <si>
    <t>Meta final ProBioQAV</t>
  </si>
  <si>
    <t>Fontes: EPE NT-EPE-DPG-SDB-2025-08; imagem de projeção EPE fornecida pelo cliente.</t>
  </si>
  <si>
    <t>Nota: Capacidades SAF são parcela de 75% do total (exceto REPLAN ATJ que é 90%). EPE reporta 4,5 bi L/ano total (SAF+HVO). Linha amarela = projeto com baixa confiança.</t>
  </si>
  <si>
    <t>lat</t>
  </si>
  <si>
    <t>lon</t>
  </si>
  <si>
    <t>trl</t>
  </si>
  <si>
    <t>-22.4726</t>
  </si>
  <si>
    <t>-12.6261</t>
  </si>
  <si>
    <t>-38.6803</t>
  </si>
  <si>
    <t>-23.8625</t>
  </si>
  <si>
    <t>-46.3845</t>
  </si>
  <si>
    <t>-32.0467</t>
  </si>
  <si>
    <t>-52.1067</t>
  </si>
  <si>
    <t>AM</t>
  </si>
  <si>
    <t>Anúncios Vibra/BBF 2022; sem atualizações produção 2026 (Eixos/Forbes 2023)</t>
  </si>
  <si>
    <t>Vibra Release 13/abr/2022</t>
  </si>
  <si>
    <t>https://www.vibraenergia.com.br/sites/default/files/2022-04/release-vibra-BBF-SAF.pdf</t>
  </si>
  <si>
    <t>G1 Economia 24/nov/2021</t>
  </si>
  <si>
    <t>https://g1.globo.com/economia/noticia/2021/11/24/bbf-e-vibra-anunciam-1a-biorrefinaria-de-diesel-verde-do-brasil-para-2025.ghtml</t>
  </si>
  <si>
    <t>Parceria para SAF/HVO via óleo palma (120 mil ha cultivo AM). Demanda energia 1,4 GW até 2038. Empregos ~12 mil. Adiamentos por questões fundiárias (BiodieselBR 2023). Sem produção em mar/2026. vibraenergia+1</t>
  </si>
  <si>
    <t>BBF Biorrefinaria Manaus</t>
  </si>
  <si>
    <t>Brasil BioFuels (BBF)</t>
  </si>
  <si>
    <t>Manaus</t>
  </si>
  <si>
    <t>-3.0430</t>
  </si>
  <si>
    <t>-59.9880</t>
  </si>
  <si>
    <t>Dendê (palma), UCO</t>
  </si>
  <si>
    <t>~500.000 m³/ano (HVO+SAF)</t>
  </si>
  <si>
    <t>R$2 bi</t>
  </si>
  <si>
    <t>Não divulgado publicamente</t>
  </si>
  <si>
    <t>ATRASADO — Dificuldades operacionais e logísticas reportadas. Parceria Vibra para distribuição. Status incerto mar/2026.</t>
  </si>
  <si>
    <t>2026 (incerto)</t>
  </si>
  <si>
    <t>SAF-11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</si>
</sst>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8"/>
      <name val="Arial"/>
    </font>
    <font>
      <i/>
      <sz val="7"/>
      <name val="Arial"/>
    </font>
    <font>
      <u/>
      <sz val="11"/>
      <color theme="10"/>
      <name val="Calibri"/>
      <family val="2"/>
      <scheme val="minor"/>
    </font>
    <font>
      <sz val="8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3" borderId="1" xfId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2" fontId="5" fillId="3" borderId="1" xfId="0" applyNumberFormat="1" applyFont="1" applyFill="1" applyBorder="1" applyAlignment="1">
      <alignment vertical="top" wrapText="1"/>
    </xf>
    <xf numFmtId="2" fontId="2" fillId="0" borderId="1" xfId="0" applyNumberFormat="1" applyFont="1" applyBorder="1" applyAlignment="1">
      <alignment vertical="top" wrapText="1"/>
    </xf>
    <xf numFmtId="2" fontId="2" fillId="3" borderId="1" xfId="0" applyNumberFormat="1" applyFont="1" applyFill="1" applyBorder="1" applyAlignment="1">
      <alignment vertical="top" wrapText="1"/>
    </xf>
    <xf numFmtId="2" fontId="5" fillId="0" borderId="1" xfId="0" applyNumberFormat="1" applyFont="1" applyBorder="1" applyAlignment="1">
      <alignment vertical="top" wrapText="1"/>
    </xf>
    <xf numFmtId="2" fontId="2" fillId="4" borderId="1" xfId="0" applyNumberFormat="1" applyFont="1" applyFill="1" applyBorder="1" applyAlignment="1">
      <alignment vertical="top" wrapText="1"/>
    </xf>
    <xf numFmtId="0" fontId="6" fillId="0" borderId="2" xfId="0" applyFont="1" applyBorder="1" applyAlignment="1">
      <alignment horizontal="left" vertical="center" wrapText="1"/>
    </xf>
    <xf numFmtId="0" fontId="4" fillId="0" borderId="2" xfId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y98\AppData\Local\Packages\5319275A.WhatsAppDesktop_cv1g1gvanyjgm\LocalState\sessions\5FE9883D749C433A9DC1FF8DF33235F67BF2986E\transfers\2026-10\SAF_Brasil_CEHTES_Validado.xlsx" TargetMode="External"/><Relationship Id="rId1" Type="http://schemas.openxmlformats.org/officeDocument/2006/relationships/externalLinkPath" Target="/Users/may98/AppData/Local/Packages/5319275A.WhatsAppDesktop_cv1g1gvanyjgm/LocalState/sessions/5FE9883D749C433A9DC1FF8DF33235F67BF2986E/transfers/2026-10/SAF_Brasil_CEHTES_Valid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tos SAF"/>
      <sheetName val="Fornecedores Tecnologia"/>
      <sheetName val="Financiamentos"/>
      <sheetName val="Marco Regulatório"/>
      <sheetName val="Capacidade vs Mandato"/>
    </sheetNames>
    <sheetDataSet>
      <sheetData sheetId="0">
        <row r="14">
          <cell r="G14" t="str">
            <v>-23.1857</v>
          </cell>
          <cell r="H14" t="str">
            <v>-45.8872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vibraenergia.com.br/sites/default/files/2022-04/release-vibra-BBF-SAF.pdf" TargetMode="External"/><Relationship Id="rId2" Type="http://schemas.openxmlformats.org/officeDocument/2006/relationships/hyperlink" Target="https://ahoradosul.com.br/conteudos/2025/12/27/refinaria-riograndense-cada-vez-mais-proxima-de-se-tornar-a-primeira-biorrefinaria-do-pais/" TargetMode="External"/><Relationship Id="rId1" Type="http://schemas.openxmlformats.org/officeDocument/2006/relationships/hyperlink" Target="https://agencia.petrobras.com.br/w/petrobras-tem-a-primeira-refinaria-do-pais-certificada-para-producao-de-sa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g1.globo.com/economia/noticia/2021/11/24/bbf-e-vibra-anunciam-1a-biorrefinaria-de-diesel-verde-do-brasil-para-2025.g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"/>
  <sheetViews>
    <sheetView tabSelected="1" workbookViewId="0">
      <pane ySplit="1" topLeftCell="A7" activePane="bottomLeft" state="frozen"/>
      <selection pane="bottomLeft" activeCell="A13" sqref="A13"/>
    </sheetView>
  </sheetViews>
  <sheetFormatPr baseColWidth="10" defaultColWidth="8.7265625" defaultRowHeight="14.5" x14ac:dyDescent="0.35"/>
  <cols>
    <col min="1" max="1" width="5" customWidth="1"/>
    <col min="2" max="2" width="20" customWidth="1"/>
    <col min="3" max="3" width="16" customWidth="1"/>
    <col min="4" max="4" width="4" customWidth="1"/>
    <col min="5" max="5" width="18" customWidth="1"/>
    <col min="6" max="6" width="6" customWidth="1"/>
    <col min="7" max="9" width="14" customWidth="1"/>
    <col min="10" max="10" width="16" customWidth="1"/>
    <col min="11" max="11" width="14" customWidth="1"/>
    <col min="12" max="12" width="20" customWidth="1"/>
    <col min="13" max="13" width="12" customWidth="1"/>
    <col min="14" max="14" width="24" customWidth="1"/>
    <col min="15" max="15" width="20" customWidth="1"/>
    <col min="16" max="16" width="28" customWidth="1"/>
    <col min="17" max="17" width="20" customWidth="1"/>
    <col min="18" max="22" width="28" customWidth="1"/>
  </cols>
  <sheetData>
    <row r="1" spans="1:22" ht="3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317</v>
      </c>
      <c r="T1" s="1" t="s">
        <v>318</v>
      </c>
      <c r="U1" s="1" t="s">
        <v>319</v>
      </c>
      <c r="V1" s="1" t="s">
        <v>18</v>
      </c>
    </row>
    <row r="2" spans="1:22" ht="90" x14ac:dyDescent="0.3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>
        <v>2025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6" t="s">
        <v>33</v>
      </c>
      <c r="Q2" s="2" t="s">
        <v>34</v>
      </c>
      <c r="R2" s="2" t="s">
        <v>35</v>
      </c>
      <c r="S2" s="10" t="s">
        <v>320</v>
      </c>
      <c r="T2" s="10">
        <v>-432779</v>
      </c>
      <c r="U2" s="2">
        <v>9</v>
      </c>
      <c r="V2" s="2" t="s">
        <v>36</v>
      </c>
    </row>
    <row r="3" spans="1:22" ht="70" x14ac:dyDescent="0.35">
      <c r="A3" s="3" t="s">
        <v>37</v>
      </c>
      <c r="B3" s="3" t="s">
        <v>38</v>
      </c>
      <c r="C3" s="3" t="s">
        <v>21</v>
      </c>
      <c r="D3" s="3" t="s">
        <v>39</v>
      </c>
      <c r="E3" s="3" t="s">
        <v>40</v>
      </c>
      <c r="F3" s="3">
        <v>2025</v>
      </c>
      <c r="G3" s="3" t="s">
        <v>24</v>
      </c>
      <c r="H3" s="3" t="s">
        <v>41</v>
      </c>
      <c r="I3" s="3" t="s">
        <v>42</v>
      </c>
      <c r="J3" s="3" t="s">
        <v>27</v>
      </c>
      <c r="K3" s="3" t="s">
        <v>43</v>
      </c>
      <c r="L3" s="3" t="s">
        <v>44</v>
      </c>
      <c r="M3" s="3" t="s">
        <v>45</v>
      </c>
      <c r="N3" s="3" t="s">
        <v>46</v>
      </c>
      <c r="O3" s="3" t="s">
        <v>47</v>
      </c>
      <c r="P3" s="3" t="s">
        <v>33</v>
      </c>
      <c r="Q3" s="3" t="s">
        <v>48</v>
      </c>
      <c r="R3" s="3" t="s">
        <v>49</v>
      </c>
      <c r="S3" s="11" t="str">
        <f>'[1]Projetos SAF'!G14</f>
        <v>-23.1857</v>
      </c>
      <c r="T3" s="11" t="str">
        <f>'[1]Projetos SAF'!H14</f>
        <v>-45.8872</v>
      </c>
      <c r="U3" s="3">
        <v>7</v>
      </c>
      <c r="V3" s="3" t="s">
        <v>50</v>
      </c>
    </row>
    <row r="4" spans="1:22" ht="70" x14ac:dyDescent="0.35">
      <c r="A4" s="2" t="s">
        <v>51</v>
      </c>
      <c r="B4" s="7" t="s">
        <v>52</v>
      </c>
      <c r="C4" s="2" t="s">
        <v>21</v>
      </c>
      <c r="D4" s="2" t="s">
        <v>53</v>
      </c>
      <c r="E4" s="7" t="s">
        <v>54</v>
      </c>
      <c r="F4" s="2">
        <v>2025</v>
      </c>
      <c r="G4" s="2" t="s">
        <v>24</v>
      </c>
      <c r="H4" s="2" t="s">
        <v>55</v>
      </c>
      <c r="I4" s="2" t="s">
        <v>56</v>
      </c>
      <c r="J4" s="2" t="s">
        <v>27</v>
      </c>
      <c r="K4" s="2" t="s">
        <v>43</v>
      </c>
      <c r="L4" s="2" t="s">
        <v>57</v>
      </c>
      <c r="M4" s="2" t="s">
        <v>58</v>
      </c>
      <c r="N4" s="2" t="s">
        <v>59</v>
      </c>
      <c r="O4" s="2" t="s">
        <v>48</v>
      </c>
      <c r="P4" s="2" t="s">
        <v>49</v>
      </c>
      <c r="Q4" s="2" t="s">
        <v>60</v>
      </c>
      <c r="R4" s="2" t="s">
        <v>61</v>
      </c>
      <c r="S4" s="12">
        <v>-1.9963486532897E+16</v>
      </c>
      <c r="T4" s="12">
        <v>-4409492855264050</v>
      </c>
      <c r="U4" s="2"/>
      <c r="V4" s="2" t="s">
        <v>62</v>
      </c>
    </row>
    <row r="5" spans="1:22" ht="70" x14ac:dyDescent="0.35">
      <c r="A5" s="3" t="s">
        <v>63</v>
      </c>
      <c r="B5" s="3" t="s">
        <v>64</v>
      </c>
      <c r="C5" s="3" t="s">
        <v>21</v>
      </c>
      <c r="D5" s="3" t="s">
        <v>39</v>
      </c>
      <c r="E5" s="8" t="s">
        <v>65</v>
      </c>
      <c r="F5" s="3">
        <v>2027</v>
      </c>
      <c r="G5" s="3" t="s">
        <v>24</v>
      </c>
      <c r="H5" s="3" t="s">
        <v>66</v>
      </c>
      <c r="I5" s="3" t="s">
        <v>67</v>
      </c>
      <c r="J5" s="3" t="s">
        <v>27</v>
      </c>
      <c r="K5" s="3" t="s">
        <v>43</v>
      </c>
      <c r="L5" s="3" t="s">
        <v>68</v>
      </c>
      <c r="M5" s="3" t="s">
        <v>69</v>
      </c>
      <c r="N5" s="3" t="s">
        <v>70</v>
      </c>
      <c r="O5" s="3" t="s">
        <v>48</v>
      </c>
      <c r="P5" s="3" t="s">
        <v>49</v>
      </c>
      <c r="Q5" s="3" t="s">
        <v>71</v>
      </c>
      <c r="R5" s="3" t="s">
        <v>72</v>
      </c>
      <c r="S5" s="11">
        <v>-2.27292826666714E+16</v>
      </c>
      <c r="T5" s="11">
        <v>-471478588755626</v>
      </c>
      <c r="U5" s="3"/>
      <c r="V5" s="3" t="s">
        <v>73</v>
      </c>
    </row>
    <row r="6" spans="1:22" ht="90" x14ac:dyDescent="0.35">
      <c r="A6" s="2" t="s">
        <v>74</v>
      </c>
      <c r="B6" s="2" t="s">
        <v>75</v>
      </c>
      <c r="C6" s="2" t="s">
        <v>76</v>
      </c>
      <c r="D6" s="2" t="s">
        <v>77</v>
      </c>
      <c r="E6" s="2" t="s">
        <v>78</v>
      </c>
      <c r="F6" s="2">
        <v>2027</v>
      </c>
      <c r="G6" s="2" t="s">
        <v>79</v>
      </c>
      <c r="H6" s="2" t="s">
        <v>80</v>
      </c>
      <c r="I6" s="2" t="s">
        <v>81</v>
      </c>
      <c r="J6" s="2" t="s">
        <v>82</v>
      </c>
      <c r="K6" s="2" t="s">
        <v>83</v>
      </c>
      <c r="L6" s="2" t="s">
        <v>84</v>
      </c>
      <c r="M6" s="2" t="s">
        <v>85</v>
      </c>
      <c r="N6" s="2" t="s">
        <v>86</v>
      </c>
      <c r="O6" s="2" t="s">
        <v>87</v>
      </c>
      <c r="P6" s="2" t="s">
        <v>88</v>
      </c>
      <c r="Q6" s="2" t="s">
        <v>89</v>
      </c>
      <c r="R6" s="2" t="s">
        <v>90</v>
      </c>
      <c r="S6" s="13" t="s">
        <v>321</v>
      </c>
      <c r="T6" s="13" t="s">
        <v>322</v>
      </c>
      <c r="U6" s="2">
        <v>5</v>
      </c>
      <c r="V6" s="2" t="s">
        <v>91</v>
      </c>
    </row>
    <row r="7" spans="1:22" ht="70" x14ac:dyDescent="0.35">
      <c r="A7" s="3" t="s">
        <v>92</v>
      </c>
      <c r="B7" s="3" t="s">
        <v>93</v>
      </c>
      <c r="C7" s="3" t="s">
        <v>21</v>
      </c>
      <c r="D7" s="3" t="s">
        <v>39</v>
      </c>
      <c r="E7" s="3" t="s">
        <v>94</v>
      </c>
      <c r="F7" s="3">
        <v>2029</v>
      </c>
      <c r="G7" s="3" t="s">
        <v>79</v>
      </c>
      <c r="H7" s="3" t="s">
        <v>95</v>
      </c>
      <c r="I7" s="3" t="s">
        <v>96</v>
      </c>
      <c r="J7" s="3" t="s">
        <v>97</v>
      </c>
      <c r="K7" s="3" t="s">
        <v>98</v>
      </c>
      <c r="L7" s="3" t="s">
        <v>99</v>
      </c>
      <c r="M7" s="3" t="s">
        <v>100</v>
      </c>
      <c r="N7" s="3" t="s">
        <v>101</v>
      </c>
      <c r="O7" s="3" t="s">
        <v>102</v>
      </c>
      <c r="P7" s="3" t="s">
        <v>103</v>
      </c>
      <c r="Q7" s="3" t="s">
        <v>104</v>
      </c>
      <c r="R7" s="3" t="s">
        <v>61</v>
      </c>
      <c r="S7" s="13" t="s">
        <v>323</v>
      </c>
      <c r="T7" s="13" t="s">
        <v>324</v>
      </c>
      <c r="U7" s="3">
        <v>5</v>
      </c>
      <c r="V7" s="3" t="s">
        <v>105</v>
      </c>
    </row>
    <row r="8" spans="1:22" ht="72.5" x14ac:dyDescent="0.35">
      <c r="A8" s="2" t="s">
        <v>106</v>
      </c>
      <c r="B8" s="2" t="s">
        <v>107</v>
      </c>
      <c r="C8" s="7" t="s">
        <v>108</v>
      </c>
      <c r="D8" s="2" t="s">
        <v>109</v>
      </c>
      <c r="E8" s="2" t="s">
        <v>110</v>
      </c>
      <c r="F8" s="2">
        <v>2028</v>
      </c>
      <c r="G8" s="2" t="s">
        <v>79</v>
      </c>
      <c r="H8" s="2" t="s">
        <v>95</v>
      </c>
      <c r="I8" s="2" t="s">
        <v>111</v>
      </c>
      <c r="J8" s="2" t="s">
        <v>112</v>
      </c>
      <c r="K8" s="2" t="s">
        <v>113</v>
      </c>
      <c r="L8" s="2" t="s">
        <v>114</v>
      </c>
      <c r="M8" s="2" t="s">
        <v>115</v>
      </c>
      <c r="N8" s="2" t="s">
        <v>116</v>
      </c>
      <c r="O8" s="2" t="s">
        <v>71</v>
      </c>
      <c r="P8" s="2" t="s">
        <v>72</v>
      </c>
      <c r="Q8" s="2" t="s">
        <v>117</v>
      </c>
      <c r="R8" s="6" t="s">
        <v>118</v>
      </c>
      <c r="S8" s="10" t="s">
        <v>325</v>
      </c>
      <c r="T8" s="10" t="s">
        <v>326</v>
      </c>
      <c r="U8" s="6">
        <v>6</v>
      </c>
      <c r="V8" s="2" t="s">
        <v>119</v>
      </c>
    </row>
    <row r="9" spans="1:22" ht="70" x14ac:dyDescent="0.35">
      <c r="A9" s="4" t="s">
        <v>120</v>
      </c>
      <c r="B9" s="4" t="s">
        <v>121</v>
      </c>
      <c r="C9" s="9" t="s">
        <v>122</v>
      </c>
      <c r="D9" s="4" t="s">
        <v>39</v>
      </c>
      <c r="E9" s="4" t="s">
        <v>123</v>
      </c>
      <c r="F9" s="4">
        <v>2030</v>
      </c>
      <c r="G9" s="4" t="s">
        <v>124</v>
      </c>
      <c r="H9" s="4" t="s">
        <v>125</v>
      </c>
      <c r="I9" s="4" t="s">
        <v>126</v>
      </c>
      <c r="J9" s="4" t="s">
        <v>127</v>
      </c>
      <c r="K9" s="4" t="s">
        <v>128</v>
      </c>
      <c r="L9" s="4" t="s">
        <v>129</v>
      </c>
      <c r="M9" s="4" t="s">
        <v>130</v>
      </c>
      <c r="N9" s="4" t="s">
        <v>131</v>
      </c>
      <c r="O9" s="4" t="s">
        <v>132</v>
      </c>
      <c r="P9" s="4" t="s">
        <v>133</v>
      </c>
      <c r="Q9" s="4" t="s">
        <v>134</v>
      </c>
      <c r="R9" s="4" t="s">
        <v>49</v>
      </c>
      <c r="S9" s="14">
        <v>-2335990011413310</v>
      </c>
      <c r="T9" s="14">
        <v>-4770668061454470</v>
      </c>
      <c r="U9" s="4"/>
      <c r="V9" s="4" t="s">
        <v>135</v>
      </c>
    </row>
    <row r="10" spans="1:22" ht="80" x14ac:dyDescent="0.35">
      <c r="A10" s="2" t="s">
        <v>136</v>
      </c>
      <c r="B10" s="2" t="s">
        <v>137</v>
      </c>
      <c r="C10" s="2" t="s">
        <v>21</v>
      </c>
      <c r="D10" s="2" t="s">
        <v>39</v>
      </c>
      <c r="E10" s="7" t="s">
        <v>138</v>
      </c>
      <c r="F10" s="2">
        <v>2033</v>
      </c>
      <c r="G10" s="2" t="s">
        <v>124</v>
      </c>
      <c r="H10" s="2" t="s">
        <v>139</v>
      </c>
      <c r="I10" s="2" t="s">
        <v>140</v>
      </c>
      <c r="J10" s="2" t="s">
        <v>141</v>
      </c>
      <c r="K10" s="2" t="s">
        <v>98</v>
      </c>
      <c r="L10" s="2" t="s">
        <v>142</v>
      </c>
      <c r="M10" s="2" t="s">
        <v>143</v>
      </c>
      <c r="N10" s="2" t="s">
        <v>144</v>
      </c>
      <c r="O10" s="2" t="s">
        <v>145</v>
      </c>
      <c r="P10" s="2" t="s">
        <v>146</v>
      </c>
      <c r="Q10" s="2" t="s">
        <v>147</v>
      </c>
      <c r="R10" s="2" t="s">
        <v>148</v>
      </c>
      <c r="S10" s="12">
        <v>-2.27293618317917E+16</v>
      </c>
      <c r="T10" s="12">
        <v>-4714789106219620</v>
      </c>
      <c r="U10" s="2"/>
      <c r="V10" s="2" t="s">
        <v>149</v>
      </c>
    </row>
    <row r="11" spans="1:22" ht="70.5" thickBot="1" x14ac:dyDescent="0.4">
      <c r="A11" s="3" t="s">
        <v>150</v>
      </c>
      <c r="B11" s="3" t="s">
        <v>151</v>
      </c>
      <c r="C11" s="3" t="s">
        <v>21</v>
      </c>
      <c r="D11" s="3" t="s">
        <v>22</v>
      </c>
      <c r="E11" s="8" t="s">
        <v>152</v>
      </c>
      <c r="F11" s="3">
        <v>2032</v>
      </c>
      <c r="G11" s="3" t="s">
        <v>79</v>
      </c>
      <c r="H11" s="3" t="s">
        <v>153</v>
      </c>
      <c r="I11" s="3" t="s">
        <v>154</v>
      </c>
      <c r="J11" s="3" t="s">
        <v>155</v>
      </c>
      <c r="K11" s="3" t="s">
        <v>156</v>
      </c>
      <c r="L11" s="3" t="s">
        <v>157</v>
      </c>
      <c r="M11" s="3" t="s">
        <v>158</v>
      </c>
      <c r="N11" s="3" t="s">
        <v>159</v>
      </c>
      <c r="O11" s="3" t="s">
        <v>104</v>
      </c>
      <c r="P11" s="3" t="s">
        <v>61</v>
      </c>
      <c r="Q11" s="3" t="s">
        <v>48</v>
      </c>
      <c r="R11" s="3" t="s">
        <v>49</v>
      </c>
      <c r="S11" s="11">
        <v>-2264906979864370</v>
      </c>
      <c r="T11" s="11">
        <v>-42861255224813</v>
      </c>
      <c r="U11" s="3"/>
      <c r="V11" s="3" t="s">
        <v>160</v>
      </c>
    </row>
    <row r="12" spans="1:22" ht="112.5" thickBot="1" x14ac:dyDescent="0.4">
      <c r="A12" s="8" t="s">
        <v>345</v>
      </c>
      <c r="B12" s="8" t="s">
        <v>334</v>
      </c>
      <c r="C12" s="8" t="s">
        <v>335</v>
      </c>
      <c r="D12" s="8" t="s">
        <v>327</v>
      </c>
      <c r="E12" s="8" t="s">
        <v>336</v>
      </c>
      <c r="F12" s="8">
        <v>2026</v>
      </c>
      <c r="G12" s="8" t="s">
        <v>179</v>
      </c>
      <c r="H12" s="8" t="s">
        <v>340</v>
      </c>
      <c r="I12" s="8" t="s">
        <v>339</v>
      </c>
      <c r="J12" s="8" t="s">
        <v>342</v>
      </c>
      <c r="K12" s="8" t="s">
        <v>341</v>
      </c>
      <c r="L12" s="8" t="s">
        <v>343</v>
      </c>
      <c r="M12" s="8" t="s">
        <v>344</v>
      </c>
      <c r="N12" s="15" t="s">
        <v>328</v>
      </c>
      <c r="O12" s="15" t="s">
        <v>329</v>
      </c>
      <c r="P12" s="16" t="s">
        <v>330</v>
      </c>
      <c r="Q12" s="15" t="s">
        <v>331</v>
      </c>
      <c r="R12" s="16" t="s">
        <v>332</v>
      </c>
      <c r="S12" s="8" t="s">
        <v>337</v>
      </c>
      <c r="T12" s="8" t="s">
        <v>338</v>
      </c>
      <c r="U12" s="8"/>
      <c r="V12" s="15" t="s">
        <v>333</v>
      </c>
    </row>
  </sheetData>
  <autoFilter ref="A1:V11" xr:uid="{00000000-0009-0000-0000-000000000000}"/>
  <hyperlinks>
    <hyperlink ref="P2" r:id="rId1" xr:uid="{5492DCF1-AE95-4CBD-AD33-E06D93C61A42}"/>
    <hyperlink ref="R8" r:id="rId2" xr:uid="{7A81C4AB-09A9-4C34-BEFB-722FDE0793A8}"/>
    <hyperlink ref="P12" r:id="rId3" xr:uid="{411B16E5-98A2-41DE-9EA6-7845B3C34B4F}"/>
    <hyperlink ref="R12" r:id="rId4" xr:uid="{79034D1D-EF5D-4F85-A783-4B60C599F14F}"/>
  </hyperlinks>
  <pageMargins left="0.75" right="0.75" top="1" bottom="1" header="0.5" footer="0.5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>
      <pane ySplit="1" topLeftCell="A2" activePane="bottomLeft" state="frozen"/>
      <selection pane="bottomLeft" activeCell="K8" sqref="K8"/>
    </sheetView>
  </sheetViews>
  <sheetFormatPr baseColWidth="10" defaultColWidth="8.7265625" defaultRowHeight="14.5" x14ac:dyDescent="0.35"/>
  <cols>
    <col min="1" max="1" width="5" customWidth="1"/>
    <col min="2" max="2" width="18" customWidth="1"/>
    <col min="3" max="3" width="10" customWidth="1"/>
    <col min="4" max="4" width="24" customWidth="1"/>
    <col min="5" max="5" width="12" customWidth="1"/>
    <col min="6" max="6" width="24" customWidth="1"/>
    <col min="7" max="7" width="20" customWidth="1"/>
    <col min="8" max="8" width="30" customWidth="1"/>
  </cols>
  <sheetData>
    <row r="1" spans="1:8" x14ac:dyDescent="0.35">
      <c r="A1" s="1" t="s">
        <v>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</row>
    <row r="2" spans="1:8" ht="40" x14ac:dyDescent="0.35">
      <c r="A2" s="2" t="s">
        <v>168</v>
      </c>
      <c r="B2" s="2" t="s">
        <v>169</v>
      </c>
      <c r="C2" s="2" t="s">
        <v>170</v>
      </c>
      <c r="D2" s="2" t="s">
        <v>171</v>
      </c>
      <c r="E2" s="2" t="s">
        <v>172</v>
      </c>
      <c r="F2" s="2" t="s">
        <v>173</v>
      </c>
      <c r="G2" s="2" t="s">
        <v>174</v>
      </c>
      <c r="H2" s="2" t="s">
        <v>103</v>
      </c>
    </row>
    <row r="3" spans="1:8" ht="30" x14ac:dyDescent="0.35">
      <c r="A3" s="3" t="s">
        <v>175</v>
      </c>
      <c r="B3" s="3" t="s">
        <v>176</v>
      </c>
      <c r="C3" s="3" t="s">
        <v>177</v>
      </c>
      <c r="D3" s="3" t="s">
        <v>178</v>
      </c>
      <c r="E3" s="3" t="s">
        <v>179</v>
      </c>
      <c r="F3" s="3" t="s">
        <v>180</v>
      </c>
      <c r="G3" s="3" t="s">
        <v>181</v>
      </c>
      <c r="H3" s="3" t="s">
        <v>72</v>
      </c>
    </row>
    <row r="4" spans="1:8" ht="40" x14ac:dyDescent="0.35">
      <c r="A4" s="2" t="s">
        <v>182</v>
      </c>
      <c r="B4" s="2" t="s">
        <v>183</v>
      </c>
      <c r="C4" s="2" t="s">
        <v>184</v>
      </c>
      <c r="D4" s="2" t="s">
        <v>185</v>
      </c>
      <c r="E4" s="2" t="s">
        <v>186</v>
      </c>
      <c r="F4" s="2" t="s">
        <v>187</v>
      </c>
      <c r="G4" s="2" t="s">
        <v>188</v>
      </c>
      <c r="H4" s="2" t="s">
        <v>90</v>
      </c>
    </row>
    <row r="5" spans="1:8" ht="40" x14ac:dyDescent="0.35">
      <c r="A5" s="3" t="s">
        <v>189</v>
      </c>
      <c r="B5" s="3" t="s">
        <v>190</v>
      </c>
      <c r="C5" s="3" t="s">
        <v>191</v>
      </c>
      <c r="D5" s="3" t="s">
        <v>192</v>
      </c>
      <c r="E5" s="3" t="s">
        <v>193</v>
      </c>
      <c r="F5" s="3" t="s">
        <v>194</v>
      </c>
      <c r="G5" s="3" t="s">
        <v>188</v>
      </c>
      <c r="H5" s="3" t="s">
        <v>90</v>
      </c>
    </row>
    <row r="6" spans="1:8" ht="30" x14ac:dyDescent="0.35">
      <c r="A6" s="2" t="s">
        <v>195</v>
      </c>
      <c r="B6" s="2" t="s">
        <v>196</v>
      </c>
      <c r="C6" s="2" t="s">
        <v>197</v>
      </c>
      <c r="D6" s="2" t="s">
        <v>198</v>
      </c>
      <c r="E6" s="2" t="s">
        <v>199</v>
      </c>
      <c r="F6" s="2" t="s">
        <v>200</v>
      </c>
      <c r="G6" s="2" t="s">
        <v>201</v>
      </c>
      <c r="H6" s="2" t="s">
        <v>202</v>
      </c>
    </row>
    <row r="7" spans="1:8" ht="30" x14ac:dyDescent="0.35">
      <c r="A7" s="3" t="s">
        <v>203</v>
      </c>
      <c r="B7" s="3" t="s">
        <v>204</v>
      </c>
      <c r="C7" s="3" t="s">
        <v>205</v>
      </c>
      <c r="D7" s="3" t="s">
        <v>206</v>
      </c>
      <c r="E7" s="3" t="s">
        <v>207</v>
      </c>
      <c r="F7" s="3" t="s">
        <v>208</v>
      </c>
      <c r="G7" s="3" t="s">
        <v>209</v>
      </c>
      <c r="H7" s="3" t="s">
        <v>210</v>
      </c>
    </row>
    <row r="8" spans="1:8" ht="30" x14ac:dyDescent="0.35">
      <c r="A8" s="2" t="s">
        <v>211</v>
      </c>
      <c r="B8" s="2" t="s">
        <v>212</v>
      </c>
      <c r="C8" s="2" t="s">
        <v>213</v>
      </c>
      <c r="D8" s="2" t="s">
        <v>214</v>
      </c>
      <c r="E8" s="2" t="s">
        <v>215</v>
      </c>
      <c r="F8" s="2" t="s">
        <v>216</v>
      </c>
      <c r="G8" s="2" t="s">
        <v>217</v>
      </c>
      <c r="H8" s="2" t="s">
        <v>218</v>
      </c>
    </row>
  </sheetData>
  <autoFilter ref="A1:H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4" customWidth="1"/>
    <col min="2" max="2" width="28" customWidth="1"/>
    <col min="3" max="3" width="12" customWidth="1"/>
    <col min="4" max="4" width="36" customWidth="1"/>
    <col min="5" max="5" width="10" customWidth="1"/>
    <col min="6" max="6" width="36" customWidth="1"/>
  </cols>
  <sheetData>
    <row r="1" spans="1:6" x14ac:dyDescent="0.35">
      <c r="A1" s="1" t="s">
        <v>219</v>
      </c>
      <c r="B1" s="1" t="s">
        <v>166</v>
      </c>
      <c r="C1" s="1" t="s">
        <v>220</v>
      </c>
      <c r="D1" s="1" t="s">
        <v>221</v>
      </c>
      <c r="E1" s="1" t="s">
        <v>222</v>
      </c>
      <c r="F1" s="1" t="s">
        <v>167</v>
      </c>
    </row>
    <row r="2" spans="1:6" ht="50" x14ac:dyDescent="0.35">
      <c r="A2" s="2">
        <v>1</v>
      </c>
      <c r="B2" s="2" t="s">
        <v>223</v>
      </c>
      <c r="C2" s="2" t="s">
        <v>224</v>
      </c>
      <c r="D2" s="2" t="s">
        <v>225</v>
      </c>
      <c r="E2" s="2" t="s">
        <v>226</v>
      </c>
      <c r="F2" s="2" t="s">
        <v>49</v>
      </c>
    </row>
    <row r="3" spans="1:6" ht="40" x14ac:dyDescent="0.35">
      <c r="A3" s="3">
        <v>2</v>
      </c>
      <c r="B3" s="3" t="s">
        <v>227</v>
      </c>
      <c r="C3" s="3" t="s">
        <v>228</v>
      </c>
      <c r="D3" s="3" t="s">
        <v>229</v>
      </c>
      <c r="E3" s="3" t="s">
        <v>230</v>
      </c>
      <c r="F3" s="3" t="s">
        <v>231</v>
      </c>
    </row>
    <row r="4" spans="1:6" ht="30" x14ac:dyDescent="0.35">
      <c r="A4" s="2">
        <v>3</v>
      </c>
      <c r="B4" s="2" t="s">
        <v>232</v>
      </c>
      <c r="C4" s="2" t="s">
        <v>233</v>
      </c>
      <c r="D4" s="2" t="s">
        <v>234</v>
      </c>
      <c r="E4" s="2" t="s">
        <v>235</v>
      </c>
      <c r="F4" s="2" t="s">
        <v>33</v>
      </c>
    </row>
    <row r="5" spans="1:6" ht="30" x14ac:dyDescent="0.35">
      <c r="A5" s="3">
        <v>4</v>
      </c>
      <c r="B5" s="3" t="s">
        <v>236</v>
      </c>
      <c r="C5" s="3" t="s">
        <v>237</v>
      </c>
      <c r="D5" s="3" t="s">
        <v>238</v>
      </c>
      <c r="E5" s="3" t="s">
        <v>239</v>
      </c>
      <c r="F5" s="3" t="s">
        <v>146</v>
      </c>
    </row>
    <row r="6" spans="1:6" ht="20" x14ac:dyDescent="0.35">
      <c r="A6" s="2">
        <v>5</v>
      </c>
      <c r="B6" s="2" t="s">
        <v>240</v>
      </c>
      <c r="C6" s="2" t="s">
        <v>241</v>
      </c>
      <c r="D6" s="2" t="s">
        <v>242</v>
      </c>
      <c r="E6" s="2" t="s">
        <v>243</v>
      </c>
      <c r="F6" s="2" t="s">
        <v>61</v>
      </c>
    </row>
    <row r="7" spans="1:6" ht="30" x14ac:dyDescent="0.35">
      <c r="A7" s="3">
        <v>6</v>
      </c>
      <c r="B7" s="3" t="s">
        <v>244</v>
      </c>
      <c r="C7" s="3" t="s">
        <v>245</v>
      </c>
      <c r="D7" s="3" t="s">
        <v>246</v>
      </c>
      <c r="E7" s="3" t="s">
        <v>247</v>
      </c>
      <c r="F7" s="3" t="s">
        <v>35</v>
      </c>
    </row>
    <row r="8" spans="1:6" ht="30" x14ac:dyDescent="0.35">
      <c r="A8" s="2">
        <v>7</v>
      </c>
      <c r="B8" s="2" t="s">
        <v>248</v>
      </c>
      <c r="C8" s="2" t="s">
        <v>249</v>
      </c>
      <c r="D8" s="2" t="s">
        <v>250</v>
      </c>
      <c r="E8" s="2" t="s">
        <v>251</v>
      </c>
      <c r="F8" s="2" t="s">
        <v>72</v>
      </c>
    </row>
    <row r="9" spans="1:6" ht="30" x14ac:dyDescent="0.35">
      <c r="A9" s="3">
        <v>8</v>
      </c>
      <c r="B9" s="3" t="s">
        <v>252</v>
      </c>
      <c r="C9" s="3" t="s">
        <v>253</v>
      </c>
      <c r="D9" s="3" t="s">
        <v>254</v>
      </c>
      <c r="E9" s="3" t="s">
        <v>255</v>
      </c>
      <c r="F9" s="3" t="s">
        <v>103</v>
      </c>
    </row>
    <row r="10" spans="1:6" ht="30" x14ac:dyDescent="0.35">
      <c r="A10" s="2">
        <v>9</v>
      </c>
      <c r="B10" s="2" t="s">
        <v>256</v>
      </c>
      <c r="C10" s="2" t="s">
        <v>253</v>
      </c>
      <c r="D10" s="2" t="s">
        <v>257</v>
      </c>
      <c r="E10" s="2" t="s">
        <v>258</v>
      </c>
      <c r="F10" s="2" t="s">
        <v>90</v>
      </c>
    </row>
    <row r="11" spans="1:6" ht="30" x14ac:dyDescent="0.35">
      <c r="A11" s="3">
        <v>10</v>
      </c>
      <c r="B11" s="3" t="s">
        <v>259</v>
      </c>
      <c r="C11" s="3" t="s">
        <v>245</v>
      </c>
      <c r="D11" s="3" t="s">
        <v>260</v>
      </c>
      <c r="E11" s="3" t="s">
        <v>261</v>
      </c>
      <c r="F11" s="3" t="s">
        <v>88</v>
      </c>
    </row>
    <row r="12" spans="1:6" ht="30" x14ac:dyDescent="0.35">
      <c r="A12" s="2">
        <v>11</v>
      </c>
      <c r="B12" s="2" t="s">
        <v>262</v>
      </c>
      <c r="C12" s="2" t="s">
        <v>263</v>
      </c>
      <c r="D12" s="2" t="s">
        <v>264</v>
      </c>
      <c r="E12" s="2" t="s">
        <v>265</v>
      </c>
      <c r="F12" s="2" t="s">
        <v>118</v>
      </c>
    </row>
    <row r="13" spans="1:6" ht="30" x14ac:dyDescent="0.35">
      <c r="A13" s="3">
        <v>12</v>
      </c>
      <c r="B13" s="3" t="s">
        <v>266</v>
      </c>
      <c r="C13" s="3" t="s">
        <v>253</v>
      </c>
      <c r="D13" s="3" t="s">
        <v>267</v>
      </c>
      <c r="E13" s="3" t="s">
        <v>268</v>
      </c>
      <c r="F13" s="3" t="s">
        <v>148</v>
      </c>
    </row>
    <row r="14" spans="1:6" ht="20" x14ac:dyDescent="0.35">
      <c r="A14" s="2">
        <v>13</v>
      </c>
      <c r="B14" s="2" t="s">
        <v>132</v>
      </c>
      <c r="C14" s="2" t="s">
        <v>269</v>
      </c>
      <c r="D14" s="2" t="s">
        <v>270</v>
      </c>
      <c r="E14" s="2" t="s">
        <v>226</v>
      </c>
      <c r="F14" s="2" t="s">
        <v>133</v>
      </c>
    </row>
    <row r="15" spans="1:6" ht="20" x14ac:dyDescent="0.35">
      <c r="A15" s="3">
        <v>14</v>
      </c>
      <c r="B15" s="3" t="s">
        <v>271</v>
      </c>
      <c r="C15" s="3" t="s">
        <v>272</v>
      </c>
      <c r="D15" s="3" t="s">
        <v>273</v>
      </c>
      <c r="E15" s="3" t="s">
        <v>268</v>
      </c>
      <c r="F15" s="3" t="s">
        <v>218</v>
      </c>
    </row>
    <row r="16" spans="1:6" ht="20" x14ac:dyDescent="0.35">
      <c r="A16" s="2">
        <v>15</v>
      </c>
      <c r="B16" s="2" t="s">
        <v>274</v>
      </c>
      <c r="C16" s="2" t="s">
        <v>275</v>
      </c>
      <c r="D16" s="2" t="s">
        <v>276</v>
      </c>
      <c r="E16" s="2" t="s">
        <v>277</v>
      </c>
      <c r="F16" s="2" t="s">
        <v>278</v>
      </c>
    </row>
    <row r="17" spans="1:6" ht="30" x14ac:dyDescent="0.35">
      <c r="A17" s="3">
        <v>16</v>
      </c>
      <c r="B17" s="3" t="s">
        <v>279</v>
      </c>
      <c r="C17" s="3" t="s">
        <v>280</v>
      </c>
      <c r="D17" s="3" t="s">
        <v>281</v>
      </c>
      <c r="E17" s="3" t="s">
        <v>282</v>
      </c>
      <c r="F17" s="3" t="s">
        <v>283</v>
      </c>
    </row>
    <row r="18" spans="1:6" ht="30" x14ac:dyDescent="0.35">
      <c r="A18" s="2">
        <v>17</v>
      </c>
      <c r="B18" s="2" t="s">
        <v>284</v>
      </c>
      <c r="C18" s="2" t="s">
        <v>263</v>
      </c>
      <c r="D18" s="2" t="s">
        <v>285</v>
      </c>
      <c r="E18" s="2" t="s">
        <v>286</v>
      </c>
      <c r="F18" s="2" t="s">
        <v>287</v>
      </c>
    </row>
  </sheetData>
  <autoFilter ref="A1:F1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6" customWidth="1"/>
    <col min="2" max="2" width="36" customWidth="1"/>
    <col min="3" max="4" width="14" customWidth="1"/>
    <col min="5" max="5" width="10" customWidth="1"/>
    <col min="6" max="6" width="30" customWidth="1"/>
  </cols>
  <sheetData>
    <row r="1" spans="1:6" ht="34.5" x14ac:dyDescent="0.35">
      <c r="A1" s="1" t="s">
        <v>288</v>
      </c>
      <c r="B1" s="1" t="s">
        <v>289</v>
      </c>
      <c r="C1" s="1" t="s">
        <v>290</v>
      </c>
      <c r="D1" s="1" t="s">
        <v>291</v>
      </c>
      <c r="E1" s="1" t="s">
        <v>292</v>
      </c>
      <c r="F1" s="1" t="s">
        <v>293</v>
      </c>
    </row>
    <row r="2" spans="1:6" ht="20" x14ac:dyDescent="0.35">
      <c r="A2" s="2">
        <v>2025</v>
      </c>
      <c r="B2" s="2" t="s">
        <v>294</v>
      </c>
      <c r="C2" s="2">
        <v>18</v>
      </c>
      <c r="D2" s="2">
        <v>18</v>
      </c>
      <c r="E2" s="2" t="s">
        <v>295</v>
      </c>
      <c r="F2" s="2" t="s">
        <v>296</v>
      </c>
    </row>
    <row r="3" spans="1:6" x14ac:dyDescent="0.35">
      <c r="A3" s="3">
        <v>2027</v>
      </c>
      <c r="B3" s="3" t="s">
        <v>297</v>
      </c>
      <c r="C3" s="3">
        <v>643</v>
      </c>
      <c r="D3" s="3">
        <v>661</v>
      </c>
      <c r="E3" s="3" t="s">
        <v>298</v>
      </c>
      <c r="F3" s="3" t="s">
        <v>299</v>
      </c>
    </row>
    <row r="4" spans="1:6" x14ac:dyDescent="0.35">
      <c r="A4" s="2">
        <v>2028</v>
      </c>
      <c r="B4" s="2" t="s">
        <v>300</v>
      </c>
      <c r="C4" s="2">
        <v>520</v>
      </c>
      <c r="D4" s="2">
        <v>1181</v>
      </c>
      <c r="E4" s="2" t="s">
        <v>301</v>
      </c>
      <c r="F4" s="2"/>
    </row>
    <row r="5" spans="1:6" x14ac:dyDescent="0.35">
      <c r="A5" s="3">
        <v>2029</v>
      </c>
      <c r="B5" s="3" t="s">
        <v>302</v>
      </c>
      <c r="C5" s="3">
        <v>520</v>
      </c>
      <c r="D5" s="3">
        <v>1701</v>
      </c>
      <c r="E5" s="3" t="s">
        <v>303</v>
      </c>
      <c r="F5" s="3"/>
    </row>
    <row r="6" spans="1:6" ht="20" x14ac:dyDescent="0.35">
      <c r="A6" s="4">
        <v>2030</v>
      </c>
      <c r="B6" s="4" t="s">
        <v>304</v>
      </c>
      <c r="C6" s="4">
        <v>790</v>
      </c>
      <c r="D6" s="4">
        <v>2491</v>
      </c>
      <c r="E6" s="4" t="s">
        <v>305</v>
      </c>
      <c r="F6" s="4" t="s">
        <v>306</v>
      </c>
    </row>
    <row r="7" spans="1:6" x14ac:dyDescent="0.35">
      <c r="A7" s="3">
        <v>2032</v>
      </c>
      <c r="B7" s="3" t="s">
        <v>307</v>
      </c>
      <c r="C7" s="3">
        <v>660</v>
      </c>
      <c r="D7" s="3">
        <v>3151</v>
      </c>
      <c r="E7" s="3" t="s">
        <v>308</v>
      </c>
      <c r="F7" s="3"/>
    </row>
    <row r="8" spans="1:6" ht="20" x14ac:dyDescent="0.35">
      <c r="A8" s="2">
        <v>2033</v>
      </c>
      <c r="B8" s="2" t="s">
        <v>309</v>
      </c>
      <c r="C8" s="2">
        <v>420</v>
      </c>
      <c r="D8" s="2">
        <v>3571</v>
      </c>
      <c r="E8" s="2" t="s">
        <v>310</v>
      </c>
      <c r="F8" s="2" t="s">
        <v>311</v>
      </c>
    </row>
    <row r="9" spans="1:6" x14ac:dyDescent="0.35">
      <c r="A9" s="3">
        <v>2037</v>
      </c>
      <c r="B9" s="3" t="s">
        <v>312</v>
      </c>
      <c r="C9" s="3">
        <v>0</v>
      </c>
      <c r="D9" s="3">
        <v>3571</v>
      </c>
      <c r="E9" s="3" t="s">
        <v>313</v>
      </c>
      <c r="F9" s="3" t="s">
        <v>314</v>
      </c>
    </row>
    <row r="11" spans="1:6" x14ac:dyDescent="0.35">
      <c r="A11" s="5" t="s">
        <v>315</v>
      </c>
    </row>
    <row r="12" spans="1:6" x14ac:dyDescent="0.35">
      <c r="A12" s="5" t="s">
        <v>316</v>
      </c>
    </row>
  </sheetData>
  <autoFilter ref="A1:F9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Projetos SAF</vt:lpstr>
      <vt:lpstr>Fornecedores Tecnologia</vt:lpstr>
      <vt:lpstr>Fontes Oficiais</vt:lpstr>
      <vt:lpstr>Capacidade vs Mandato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Alejandro</cp:lastModifiedBy>
  <dcterms:created xsi:type="dcterms:W3CDTF">2026-03-06T13:43:40Z</dcterms:created>
  <dcterms:modified xsi:type="dcterms:W3CDTF">2026-03-08T15:53:09Z</dcterms:modified>
</cp:coreProperties>
</file>